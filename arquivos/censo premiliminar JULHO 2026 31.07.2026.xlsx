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Janay Soares\Desktop\relatórios censo 2026\"/>
    </mc:Choice>
  </mc:AlternateContent>
  <xr:revisionPtr revIDLastSave="0" documentId="8_{87FD7FDB-EC8D-4F5D-8FF9-37F829D08BBE}" xr6:coauthVersionLast="47" xr6:coauthVersionMax="47" xr10:uidLastSave="{00000000-0000-0000-0000-000000000000}"/>
  <bookViews>
    <workbookView xWindow="-120" yWindow="-120" windowWidth="20730" windowHeight="11040" xr2:uid="{6807206F-EBEC-4FC5-B3B5-23F6562EE1B5}"/>
  </bookViews>
  <sheets>
    <sheet name="Planilha1" sheetId="1" r:id="rId1"/>
  </sheets>
  <definedNames>
    <definedName name="_xlnm._FilterDatabase" localSheetId="0" hidden="1">Planilha1!$A$1:$O$32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2" i="1" l="1"/>
  <c r="C32" i="1"/>
  <c r="E32" i="1"/>
  <c r="D32" i="1"/>
  <c r="B32" i="1"/>
  <c r="XFD32" i="1" l="1"/>
</calcChain>
</file>

<file path=xl/sharedStrings.xml><?xml version="1.0" encoding="utf-8"?>
<sst xmlns="http://schemas.openxmlformats.org/spreadsheetml/2006/main" count="224" uniqueCount="61">
  <si>
    <t>PARCIAL</t>
  </si>
  <si>
    <t>AEE</t>
  </si>
  <si>
    <t>EJA</t>
  </si>
  <si>
    <t>CRECHES</t>
  </si>
  <si>
    <t>INTEGRAL</t>
  </si>
  <si>
    <t>PRÉ - ESCOLA</t>
  </si>
  <si>
    <t>FUND. II</t>
  </si>
  <si>
    <t>FUND. I</t>
  </si>
  <si>
    <t>ESCOLA</t>
  </si>
  <si>
    <t xml:space="preserve"> 7 ÁS 14 HORAS</t>
  </si>
  <si>
    <t>ATIV.COMP.</t>
  </si>
  <si>
    <t>MATRICULA</t>
  </si>
  <si>
    <t>ADELIDIA MAGNO DE OLIVEIRA(RURAL)</t>
  </si>
  <si>
    <t>ADELIDIA MAGNO DE OLIVEIRA(SEDE)</t>
  </si>
  <si>
    <t>MANOEL DE SALES GOMES</t>
  </si>
  <si>
    <t>NOSSA SENHORA SANTANA</t>
  </si>
  <si>
    <t>CEI- CHAVE DO SABER</t>
  </si>
  <si>
    <t>CEI-ESTEVAM DE ALENCAR GUERRA</t>
  </si>
  <si>
    <t>ALFERES JOÃO GUERRA</t>
  </si>
  <si>
    <t>ANTONIO HONORATO</t>
  </si>
  <si>
    <t>JOSE AUGUSTO LOBO</t>
  </si>
  <si>
    <t>JOSE GERMANO FERREIRA</t>
  </si>
  <si>
    <t>JOSE PAULO DE SOUSA</t>
  </si>
  <si>
    <t>CEI- ANTONIO MARTINS BERNARDO</t>
  </si>
  <si>
    <t>CEI- MARIA DE FATIMA FELIX</t>
  </si>
  <si>
    <t>LEONCIO MACAMBIRA</t>
  </si>
  <si>
    <t>7 DE SETEMBRO</t>
  </si>
  <si>
    <t>MENINO JESUS DE PRAGA</t>
  </si>
  <si>
    <t>CEI- GERARDO BATISTA NUNES</t>
  </si>
  <si>
    <t>FLAVIO MARCILIO</t>
  </si>
  <si>
    <t>JOSE PEREIRA</t>
  </si>
  <si>
    <t>JOSE AUGUSTO DA SILVA</t>
  </si>
  <si>
    <t>SANTOS DUMONT</t>
  </si>
  <si>
    <t>EDUARDO BARBOSA</t>
  </si>
  <si>
    <t>ANTº GOMES DE SOUSA</t>
  </si>
  <si>
    <t>JOSE PESSOA DE CARVALHO</t>
  </si>
  <si>
    <t>JOSE PEREIRA SOBRINHO</t>
  </si>
  <si>
    <t>13 DE MAIO</t>
  </si>
  <si>
    <t>CEI- LIDIA BARBOSA DE SOUSA</t>
  </si>
  <si>
    <t>CEI- RDOº MIGUEL DE SOUSA</t>
  </si>
  <si>
    <t>-</t>
  </si>
  <si>
    <t xml:space="preserve"> -</t>
  </si>
  <si>
    <t xml:space="preserve">          -</t>
  </si>
  <si>
    <t xml:space="preserve">         -</t>
  </si>
  <si>
    <t xml:space="preserve">       -</t>
  </si>
  <si>
    <t xml:space="preserve">        -</t>
  </si>
  <si>
    <t xml:space="preserve">      -</t>
  </si>
  <si>
    <t xml:space="preserve">        --</t>
  </si>
  <si>
    <t xml:space="preserve">      --</t>
  </si>
  <si>
    <t xml:space="preserve">          - </t>
  </si>
  <si>
    <t xml:space="preserve">        - </t>
  </si>
  <si>
    <t xml:space="preserve">         - </t>
  </si>
  <si>
    <t xml:space="preserve">     -</t>
  </si>
  <si>
    <t xml:space="preserve">   -</t>
  </si>
  <si>
    <t xml:space="preserve">    --</t>
  </si>
  <si>
    <t xml:space="preserve">       --</t>
  </si>
  <si>
    <t xml:space="preserve">           -</t>
  </si>
  <si>
    <t xml:space="preserve">    -</t>
  </si>
  <si>
    <t xml:space="preserve">         --</t>
  </si>
  <si>
    <t>TOTAL</t>
  </si>
  <si>
    <t>LEVANTAMENTO  (CENSO - 2026)- JULHO 31.07.2026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</si>
</sst>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3" borderId="0" xfId="0" applyFont="1" applyFill="1" applyAlignment="1">
      <alignment horizontal="left"/>
    </xf>
    <xf numFmtId="0" fontId="3" fillId="3" borderId="0" xfId="0" applyFont="1" applyFill="1"/>
    <xf numFmtId="0" fontId="5" fillId="4" borderId="0" xfId="0" applyFont="1" applyFill="1"/>
    <xf numFmtId="0" fontId="3" fillId="3" borderId="5" xfId="0" applyFont="1" applyFill="1" applyBorder="1" applyAlignment="1">
      <alignment horizontal="center" vertical="top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08C7C-AAB2-4F6C-8B82-84FD31678028}">
  <dimension ref="A1:XFD44"/>
  <sheetViews>
    <sheetView tabSelected="1" topLeftCell="A7" zoomScale="70" zoomScaleNormal="70" workbookViewId="0">
      <selection activeCell="C9" sqref="C9"/>
    </sheetView>
  </sheetViews>
  <sheetFormatPr defaultRowHeight="15"/>
  <cols>
    <col min="1" max="1" width="44.875" style="14" customWidth="1"/>
    <col min="2" max="2" width="13" style="15" customWidth="1"/>
    <col min="3" max="3" width="10.875" style="15" customWidth="1"/>
    <col min="4" max="4" width="5.875" style="15" customWidth="1"/>
    <col min="5" max="5" width="5.75" style="15" customWidth="1"/>
    <col min="6" max="6" width="9.625" style="15" customWidth="1"/>
    <col min="7" max="7" width="10.375" style="15" customWidth="1"/>
    <col min="8" max="8" width="9.25" style="15" customWidth="1"/>
    <col min="9" max="9" width="10" style="15" customWidth="1"/>
    <col min="10" max="10" width="10.875" style="15" customWidth="1"/>
    <col min="11" max="11" width="9.125" style="15" customWidth="1"/>
    <col min="12" max="12" width="10.75" style="15" customWidth="1"/>
    <col min="13" max="13" width="9.875" style="15" customWidth="1"/>
    <col min="14" max="14" width="8.875" style="15" customWidth="1"/>
    <col min="15" max="15" width="9.375" style="15" customWidth="1"/>
    <col min="16" max="16384" width="9" style="15"/>
  </cols>
  <sheetData>
    <row r="1" spans="1:15" s="14" customFormat="1" ht="15.75">
      <c r="A1" s="20" t="s">
        <v>60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5" ht="18.75" customHeight="1">
      <c r="A2" s="22" t="s">
        <v>8</v>
      </c>
      <c r="B2" s="22" t="s">
        <v>11</v>
      </c>
      <c r="C2" s="22" t="s">
        <v>4</v>
      </c>
      <c r="D2" s="22" t="s">
        <v>1</v>
      </c>
      <c r="E2" s="22" t="s">
        <v>2</v>
      </c>
      <c r="F2" s="24" t="s">
        <v>3</v>
      </c>
      <c r="G2" s="25"/>
      <c r="H2" s="24" t="s">
        <v>5</v>
      </c>
      <c r="I2" s="25"/>
      <c r="J2" s="24" t="s">
        <v>7</v>
      </c>
      <c r="K2" s="25"/>
      <c r="L2" s="24" t="s">
        <v>6</v>
      </c>
      <c r="M2" s="25"/>
      <c r="N2" s="26" t="s">
        <v>9</v>
      </c>
      <c r="O2" s="26" t="s">
        <v>10</v>
      </c>
    </row>
    <row r="3" spans="1:15" ht="49.5" customHeight="1">
      <c r="A3" s="23"/>
      <c r="B3" s="23"/>
      <c r="C3" s="23"/>
      <c r="D3" s="23"/>
      <c r="E3" s="23"/>
      <c r="F3" s="1" t="s">
        <v>0</v>
      </c>
      <c r="G3" s="1" t="s">
        <v>4</v>
      </c>
      <c r="H3" s="1" t="s">
        <v>0</v>
      </c>
      <c r="I3" s="1" t="s">
        <v>4</v>
      </c>
      <c r="J3" s="1" t="s">
        <v>4</v>
      </c>
      <c r="K3" s="1" t="s">
        <v>0</v>
      </c>
      <c r="L3" s="1" t="s">
        <v>4</v>
      </c>
      <c r="M3" s="1" t="s">
        <v>0</v>
      </c>
      <c r="N3" s="27"/>
      <c r="O3" s="27"/>
    </row>
    <row r="4" spans="1:15" s="16" customFormat="1">
      <c r="A4" s="2" t="s">
        <v>12</v>
      </c>
      <c r="B4" s="3">
        <v>71</v>
      </c>
      <c r="C4" s="4">
        <v>8</v>
      </c>
      <c r="D4" s="4">
        <v>3</v>
      </c>
      <c r="E4" s="4">
        <v>58</v>
      </c>
      <c r="F4" s="5" t="s">
        <v>44</v>
      </c>
      <c r="G4" s="4">
        <v>5</v>
      </c>
      <c r="H4" s="4" t="s">
        <v>45</v>
      </c>
      <c r="I4" s="5" t="s">
        <v>43</v>
      </c>
      <c r="J4" s="4">
        <v>8</v>
      </c>
      <c r="K4" s="5" t="s">
        <v>46</v>
      </c>
      <c r="L4" s="5" t="s">
        <v>44</v>
      </c>
      <c r="M4" s="5" t="s">
        <v>44</v>
      </c>
      <c r="N4" s="4">
        <v>13</v>
      </c>
      <c r="O4" s="5" t="s">
        <v>45</v>
      </c>
    </row>
    <row r="5" spans="1:15" s="17" customFormat="1">
      <c r="A5" s="6" t="s">
        <v>13</v>
      </c>
      <c r="B5" s="7">
        <v>497</v>
      </c>
      <c r="C5" s="8">
        <v>242</v>
      </c>
      <c r="D5" s="8">
        <v>46</v>
      </c>
      <c r="E5" s="8">
        <v>119</v>
      </c>
      <c r="F5" s="9" t="s">
        <v>44</v>
      </c>
      <c r="G5" s="8" t="s">
        <v>43</v>
      </c>
      <c r="H5" s="8" t="s">
        <v>46</v>
      </c>
      <c r="I5" s="8" t="s">
        <v>43</v>
      </c>
      <c r="J5" s="8">
        <v>55</v>
      </c>
      <c r="K5" s="8">
        <v>136</v>
      </c>
      <c r="L5" s="8">
        <v>186</v>
      </c>
      <c r="M5" s="8" t="s">
        <v>50</v>
      </c>
      <c r="N5" s="8">
        <v>241</v>
      </c>
      <c r="O5" s="8">
        <v>101</v>
      </c>
    </row>
    <row r="6" spans="1:15" s="17" customFormat="1">
      <c r="A6" s="6" t="s">
        <v>14</v>
      </c>
      <c r="B6" s="7">
        <v>103</v>
      </c>
      <c r="C6" s="8">
        <v>10</v>
      </c>
      <c r="D6" s="8">
        <v>4</v>
      </c>
      <c r="E6" s="8">
        <v>74</v>
      </c>
      <c r="F6" s="8" t="s">
        <v>45</v>
      </c>
      <c r="G6" s="8">
        <v>4</v>
      </c>
      <c r="H6" s="9" t="s">
        <v>44</v>
      </c>
      <c r="I6" s="8">
        <v>5</v>
      </c>
      <c r="J6" s="8">
        <v>20</v>
      </c>
      <c r="K6" s="8" t="s">
        <v>43</v>
      </c>
      <c r="L6" s="8" t="s">
        <v>44</v>
      </c>
      <c r="M6" s="8" t="s">
        <v>44</v>
      </c>
      <c r="N6" s="8">
        <v>10</v>
      </c>
      <c r="O6" s="8" t="s">
        <v>40</v>
      </c>
    </row>
    <row r="7" spans="1:15" s="17" customFormat="1">
      <c r="A7" s="6" t="s">
        <v>15</v>
      </c>
      <c r="B7" s="7">
        <v>117</v>
      </c>
      <c r="C7" s="8">
        <v>20</v>
      </c>
      <c r="D7" s="8">
        <v>4</v>
      </c>
      <c r="E7" s="8">
        <v>97</v>
      </c>
      <c r="F7" s="8" t="s">
        <v>45</v>
      </c>
      <c r="G7" s="8">
        <v>8</v>
      </c>
      <c r="H7" s="8" t="s">
        <v>45</v>
      </c>
      <c r="I7" s="8">
        <v>5</v>
      </c>
      <c r="J7" s="8">
        <v>7</v>
      </c>
      <c r="K7" s="8" t="s">
        <v>43</v>
      </c>
      <c r="L7" s="8" t="s">
        <v>46</v>
      </c>
      <c r="M7" s="8" t="s">
        <v>46</v>
      </c>
      <c r="N7" s="8">
        <v>20</v>
      </c>
      <c r="O7" s="8">
        <v>7</v>
      </c>
    </row>
    <row r="8" spans="1:15" s="17" customFormat="1">
      <c r="A8" s="6" t="s">
        <v>16</v>
      </c>
      <c r="B8" s="7">
        <v>122</v>
      </c>
      <c r="C8" s="8">
        <v>122</v>
      </c>
      <c r="D8" s="8">
        <v>20</v>
      </c>
      <c r="E8" s="8" t="s">
        <v>46</v>
      </c>
      <c r="F8" s="8" t="s">
        <v>41</v>
      </c>
      <c r="G8" s="8"/>
      <c r="H8" s="8" t="s">
        <v>46</v>
      </c>
      <c r="I8" s="8">
        <v>78</v>
      </c>
      <c r="J8" s="8">
        <v>44</v>
      </c>
      <c r="K8" s="8" t="s">
        <v>42</v>
      </c>
      <c r="L8" s="8" t="s">
        <v>45</v>
      </c>
      <c r="M8" s="8" t="s">
        <v>46</v>
      </c>
      <c r="N8" s="8">
        <v>122</v>
      </c>
      <c r="O8" s="8" t="s">
        <v>40</v>
      </c>
    </row>
    <row r="9" spans="1:15" s="17" customFormat="1">
      <c r="A9" s="6" t="s">
        <v>17</v>
      </c>
      <c r="B9" s="7">
        <v>152</v>
      </c>
      <c r="C9" s="8">
        <v>152</v>
      </c>
      <c r="D9" s="8">
        <v>15</v>
      </c>
      <c r="E9" s="8" t="s">
        <v>45</v>
      </c>
      <c r="F9" s="19" t="s">
        <v>47</v>
      </c>
      <c r="G9" s="8">
        <v>152</v>
      </c>
      <c r="H9" s="8" t="s">
        <v>45</v>
      </c>
      <c r="I9" s="8" t="s">
        <v>43</v>
      </c>
      <c r="J9" s="8" t="s">
        <v>43</v>
      </c>
      <c r="K9" s="8" t="s">
        <v>44</v>
      </c>
      <c r="L9" s="8" t="s">
        <v>44</v>
      </c>
      <c r="M9" s="8" t="s">
        <v>44</v>
      </c>
      <c r="N9" s="8">
        <v>152</v>
      </c>
      <c r="O9" s="8" t="s">
        <v>40</v>
      </c>
    </row>
    <row r="10" spans="1:15" s="17" customFormat="1">
      <c r="A10" s="6" t="s">
        <v>18</v>
      </c>
      <c r="B10" s="7">
        <v>50</v>
      </c>
      <c r="C10" s="8">
        <v>15</v>
      </c>
      <c r="D10" s="8"/>
      <c r="E10" s="8">
        <v>35</v>
      </c>
      <c r="F10" s="19" t="s">
        <v>48</v>
      </c>
      <c r="G10" s="8">
        <v>9</v>
      </c>
      <c r="H10" s="8" t="s">
        <v>44</v>
      </c>
      <c r="I10" s="8">
        <v>6</v>
      </c>
      <c r="J10" s="8" t="s">
        <v>49</v>
      </c>
      <c r="K10" s="8" t="s">
        <v>44</v>
      </c>
      <c r="L10" s="8" t="s">
        <v>45</v>
      </c>
      <c r="M10" s="8" t="s">
        <v>44</v>
      </c>
      <c r="N10" s="8">
        <v>15</v>
      </c>
      <c r="O10" s="8" t="s">
        <v>40</v>
      </c>
    </row>
    <row r="11" spans="1:15" s="17" customFormat="1">
      <c r="A11" s="6" t="s">
        <v>19</v>
      </c>
      <c r="B11" s="7">
        <v>426</v>
      </c>
      <c r="C11" s="8" t="s">
        <v>40</v>
      </c>
      <c r="D11" s="8">
        <v>87</v>
      </c>
      <c r="E11" s="8">
        <v>81</v>
      </c>
      <c r="F11" s="19" t="s">
        <v>44</v>
      </c>
      <c r="G11" s="9" t="s">
        <v>44</v>
      </c>
      <c r="H11" s="8" t="s">
        <v>44</v>
      </c>
      <c r="I11" s="8" t="s">
        <v>43</v>
      </c>
      <c r="J11" s="8" t="s">
        <v>43</v>
      </c>
      <c r="K11" s="8">
        <v>345</v>
      </c>
      <c r="L11" s="8" t="s">
        <v>45</v>
      </c>
      <c r="M11" s="8" t="s">
        <v>51</v>
      </c>
      <c r="N11" s="8"/>
      <c r="O11" s="8">
        <v>253</v>
      </c>
    </row>
    <row r="12" spans="1:15" s="17" customFormat="1">
      <c r="A12" s="6" t="s">
        <v>20</v>
      </c>
      <c r="B12" s="7">
        <v>328</v>
      </c>
      <c r="C12" s="8">
        <v>328</v>
      </c>
      <c r="D12" s="8">
        <v>107</v>
      </c>
      <c r="E12" s="8" t="s">
        <v>46</v>
      </c>
      <c r="F12" s="19" t="s">
        <v>48</v>
      </c>
      <c r="G12" s="9" t="s">
        <v>43</v>
      </c>
      <c r="H12" s="8" t="s">
        <v>45</v>
      </c>
      <c r="I12" s="8">
        <v>206</v>
      </c>
      <c r="J12" s="8">
        <v>122</v>
      </c>
      <c r="K12" s="8"/>
      <c r="L12" s="8" t="s">
        <v>50</v>
      </c>
      <c r="M12" s="8" t="s">
        <v>44</v>
      </c>
      <c r="N12" s="8">
        <v>328</v>
      </c>
      <c r="O12" s="8" t="s">
        <v>40</v>
      </c>
    </row>
    <row r="13" spans="1:15" s="17" customFormat="1">
      <c r="A13" s="6" t="s">
        <v>21</v>
      </c>
      <c r="B13" s="7">
        <v>316</v>
      </c>
      <c r="C13" s="8">
        <v>173</v>
      </c>
      <c r="D13" s="8">
        <v>21</v>
      </c>
      <c r="E13" s="8">
        <v>94</v>
      </c>
      <c r="F13" s="19"/>
      <c r="G13" s="8">
        <v>30</v>
      </c>
      <c r="H13" s="8" t="s">
        <v>52</v>
      </c>
      <c r="I13" s="8">
        <v>31</v>
      </c>
      <c r="J13" s="8">
        <v>37</v>
      </c>
      <c r="K13" s="8">
        <v>49</v>
      </c>
      <c r="L13" s="8">
        <v>75</v>
      </c>
      <c r="M13" s="8" t="s">
        <v>43</v>
      </c>
      <c r="N13" s="8">
        <v>173</v>
      </c>
      <c r="O13" s="8">
        <v>44</v>
      </c>
    </row>
    <row r="14" spans="1:15" s="17" customFormat="1">
      <c r="A14" s="6" t="s">
        <v>22</v>
      </c>
      <c r="B14" s="7">
        <v>561</v>
      </c>
      <c r="C14" s="8">
        <v>561</v>
      </c>
      <c r="D14" s="8">
        <v>90</v>
      </c>
      <c r="E14" s="8" t="s">
        <v>40</v>
      </c>
      <c r="F14" s="19" t="s">
        <v>40</v>
      </c>
      <c r="G14" s="8" t="s">
        <v>40</v>
      </c>
      <c r="H14" s="8" t="s">
        <v>45</v>
      </c>
      <c r="I14" s="8" t="s">
        <v>45</v>
      </c>
      <c r="J14" s="8">
        <v>110</v>
      </c>
      <c r="K14" s="8" t="s">
        <v>45</v>
      </c>
      <c r="L14" s="8">
        <v>451</v>
      </c>
      <c r="M14" s="8" t="s">
        <v>43</v>
      </c>
      <c r="N14" s="8">
        <v>561</v>
      </c>
      <c r="O14" s="8">
        <v>561</v>
      </c>
    </row>
    <row r="15" spans="1:15" s="17" customFormat="1">
      <c r="A15" s="6" t="s">
        <v>23</v>
      </c>
      <c r="B15" s="7">
        <v>229</v>
      </c>
      <c r="C15" s="8">
        <v>229</v>
      </c>
      <c r="D15" s="8">
        <v>14</v>
      </c>
      <c r="E15" s="8" t="s">
        <v>52</v>
      </c>
      <c r="F15" s="19" t="s">
        <v>48</v>
      </c>
      <c r="G15" s="8">
        <v>229</v>
      </c>
      <c r="H15" s="8" t="s">
        <v>45</v>
      </c>
      <c r="I15" s="8" t="s">
        <v>45</v>
      </c>
      <c r="J15" s="8" t="s">
        <v>53</v>
      </c>
      <c r="K15" s="8" t="s">
        <v>44</v>
      </c>
      <c r="L15" s="8" t="s">
        <v>45</v>
      </c>
      <c r="M15" s="8" t="s">
        <v>44</v>
      </c>
      <c r="N15" s="8">
        <v>229</v>
      </c>
      <c r="O15" s="8" t="s">
        <v>40</v>
      </c>
    </row>
    <row r="16" spans="1:15" s="17" customFormat="1">
      <c r="A16" s="6" t="s">
        <v>24</v>
      </c>
      <c r="B16" s="7">
        <v>72</v>
      </c>
      <c r="C16" s="8">
        <v>72</v>
      </c>
      <c r="D16" s="8">
        <v>8</v>
      </c>
      <c r="E16" s="8" t="s">
        <v>53</v>
      </c>
      <c r="F16" s="19" t="s">
        <v>48</v>
      </c>
      <c r="G16" s="8">
        <v>43</v>
      </c>
      <c r="H16" s="8" t="s">
        <v>47</v>
      </c>
      <c r="I16" s="8">
        <v>29</v>
      </c>
      <c r="J16" s="8" t="s">
        <v>44</v>
      </c>
      <c r="K16" s="8" t="s">
        <v>45</v>
      </c>
      <c r="L16" s="8" t="s">
        <v>52</v>
      </c>
      <c r="M16" s="8" t="s">
        <v>52</v>
      </c>
      <c r="N16" s="8">
        <v>72</v>
      </c>
      <c r="O16" s="8" t="s">
        <v>40</v>
      </c>
    </row>
    <row r="17" spans="1:15 16384:16384" s="17" customFormat="1">
      <c r="A17" s="6" t="s">
        <v>25</v>
      </c>
      <c r="B17" s="7">
        <v>217</v>
      </c>
      <c r="C17" s="8">
        <v>44</v>
      </c>
      <c r="D17" s="8">
        <v>6</v>
      </c>
      <c r="E17" s="8">
        <v>173</v>
      </c>
      <c r="F17" s="19" t="s">
        <v>47</v>
      </c>
      <c r="G17" s="8">
        <v>20</v>
      </c>
      <c r="H17" s="8" t="s">
        <v>45</v>
      </c>
      <c r="I17" s="8">
        <v>11</v>
      </c>
      <c r="J17" s="8">
        <v>13</v>
      </c>
      <c r="K17" s="8" t="s">
        <v>45</v>
      </c>
      <c r="L17" s="8" t="s">
        <v>43</v>
      </c>
      <c r="M17" s="8" t="s">
        <v>46</v>
      </c>
      <c r="N17" s="8">
        <v>44</v>
      </c>
      <c r="O17" s="8">
        <v>13</v>
      </c>
    </row>
    <row r="18" spans="1:15 16384:16384" s="17" customFormat="1">
      <c r="A18" s="6" t="s">
        <v>26</v>
      </c>
      <c r="B18" s="7">
        <v>244</v>
      </c>
      <c r="C18" s="8">
        <v>167</v>
      </c>
      <c r="D18" s="8">
        <v>27</v>
      </c>
      <c r="E18" s="8">
        <v>77</v>
      </c>
      <c r="F18" s="19" t="s">
        <v>41</v>
      </c>
      <c r="G18" s="8" t="s">
        <v>42</v>
      </c>
      <c r="H18" s="8" t="s">
        <v>43</v>
      </c>
      <c r="I18" s="8" t="s">
        <v>43</v>
      </c>
      <c r="J18" s="8">
        <v>85</v>
      </c>
      <c r="K18" s="8" t="s">
        <v>44</v>
      </c>
      <c r="L18" s="8">
        <v>82</v>
      </c>
      <c r="M18" s="8" t="s">
        <v>42</v>
      </c>
      <c r="N18" s="8">
        <v>167</v>
      </c>
      <c r="O18" s="8">
        <v>167</v>
      </c>
    </row>
    <row r="19" spans="1:15 16384:16384" s="17" customFormat="1">
      <c r="A19" s="6" t="s">
        <v>27</v>
      </c>
      <c r="B19" s="7">
        <v>69</v>
      </c>
      <c r="C19" s="8">
        <v>22</v>
      </c>
      <c r="D19" s="8">
        <v>5</v>
      </c>
      <c r="E19" s="8">
        <v>47</v>
      </c>
      <c r="F19" s="19" t="s">
        <v>45</v>
      </c>
      <c r="G19" s="8">
        <v>6</v>
      </c>
      <c r="H19" s="8" t="s">
        <v>43</v>
      </c>
      <c r="I19" s="8">
        <v>2</v>
      </c>
      <c r="J19" s="8">
        <v>14</v>
      </c>
      <c r="K19" s="8" t="s">
        <v>43</v>
      </c>
      <c r="L19" s="8" t="s">
        <v>43</v>
      </c>
      <c r="M19" s="8" t="s">
        <v>44</v>
      </c>
      <c r="N19" s="8">
        <v>22</v>
      </c>
      <c r="O19" s="8">
        <v>14</v>
      </c>
    </row>
    <row r="20" spans="1:15 16384:16384" s="17" customFormat="1">
      <c r="A20" s="6" t="s">
        <v>28</v>
      </c>
      <c r="B20" s="7">
        <v>106</v>
      </c>
      <c r="C20" s="8">
        <v>106</v>
      </c>
      <c r="D20" s="8">
        <v>14</v>
      </c>
      <c r="E20" s="8" t="s">
        <v>44</v>
      </c>
      <c r="F20" s="19" t="s">
        <v>45</v>
      </c>
      <c r="G20" s="8">
        <v>52</v>
      </c>
      <c r="H20" s="8" t="s">
        <v>45</v>
      </c>
      <c r="I20" s="8">
        <v>54</v>
      </c>
      <c r="J20" s="8" t="s">
        <v>42</v>
      </c>
      <c r="K20" s="8" t="s">
        <v>44</v>
      </c>
      <c r="L20" s="8" t="s">
        <v>45</v>
      </c>
      <c r="M20" s="8" t="s">
        <v>44</v>
      </c>
      <c r="N20" s="8">
        <v>106</v>
      </c>
      <c r="O20" s="8" t="s">
        <v>40</v>
      </c>
    </row>
    <row r="21" spans="1:15 16384:16384" s="17" customFormat="1">
      <c r="A21" s="6" t="s">
        <v>29</v>
      </c>
      <c r="B21" s="7">
        <v>274</v>
      </c>
      <c r="C21" s="8">
        <v>92</v>
      </c>
      <c r="D21" s="8">
        <v>16</v>
      </c>
      <c r="E21" s="8">
        <v>125</v>
      </c>
      <c r="F21" s="19" t="s">
        <v>55</v>
      </c>
      <c r="G21" s="8">
        <v>22</v>
      </c>
      <c r="H21" s="8" t="s">
        <v>45</v>
      </c>
      <c r="I21" s="8">
        <v>20</v>
      </c>
      <c r="J21" s="8" t="s">
        <v>42</v>
      </c>
      <c r="K21" s="8">
        <v>57</v>
      </c>
      <c r="L21" s="8">
        <v>50</v>
      </c>
      <c r="M21" s="8" t="s">
        <v>43</v>
      </c>
      <c r="N21" s="8">
        <v>92</v>
      </c>
      <c r="O21" s="8">
        <v>103</v>
      </c>
    </row>
    <row r="22" spans="1:15 16384:16384" s="17" customFormat="1">
      <c r="A22" s="6" t="s">
        <v>30</v>
      </c>
      <c r="B22" s="7">
        <v>359</v>
      </c>
      <c r="C22" s="8">
        <v>273</v>
      </c>
      <c r="D22" s="8">
        <v>26</v>
      </c>
      <c r="E22" s="8">
        <v>86</v>
      </c>
      <c r="F22" s="19" t="s">
        <v>45</v>
      </c>
      <c r="G22" s="8" t="s">
        <v>43</v>
      </c>
      <c r="H22" s="8" t="s">
        <v>40</v>
      </c>
      <c r="I22" s="8" t="s">
        <v>56</v>
      </c>
      <c r="J22" s="8">
        <v>138</v>
      </c>
      <c r="K22" s="8" t="s">
        <v>45</v>
      </c>
      <c r="L22" s="8">
        <v>135</v>
      </c>
      <c r="M22" s="8" t="s">
        <v>45</v>
      </c>
      <c r="N22" s="8">
        <v>273</v>
      </c>
      <c r="O22" s="8">
        <v>273</v>
      </c>
    </row>
    <row r="23" spans="1:15 16384:16384" s="17" customFormat="1">
      <c r="A23" s="6" t="s">
        <v>31</v>
      </c>
      <c r="B23" s="7">
        <v>68</v>
      </c>
      <c r="C23" s="8">
        <v>27</v>
      </c>
      <c r="D23" s="8">
        <v>2</v>
      </c>
      <c r="E23" s="8">
        <v>41</v>
      </c>
      <c r="F23" s="19" t="s">
        <v>45</v>
      </c>
      <c r="G23" s="8">
        <v>10</v>
      </c>
      <c r="H23" s="8" t="s">
        <v>45</v>
      </c>
      <c r="I23" s="8">
        <v>6</v>
      </c>
      <c r="J23" s="8">
        <v>11</v>
      </c>
      <c r="K23" s="8" t="s">
        <v>45</v>
      </c>
      <c r="L23" s="8" t="s">
        <v>45</v>
      </c>
      <c r="M23" s="8" t="s">
        <v>42</v>
      </c>
      <c r="N23" s="8">
        <v>27</v>
      </c>
      <c r="O23" s="8">
        <v>11</v>
      </c>
    </row>
    <row r="24" spans="1:15 16384:16384" s="17" customFormat="1">
      <c r="A24" s="6" t="s">
        <v>32</v>
      </c>
      <c r="B24" s="7">
        <v>77</v>
      </c>
      <c r="C24" s="8">
        <v>13</v>
      </c>
      <c r="D24" s="8" t="s">
        <v>40</v>
      </c>
      <c r="E24" s="8">
        <v>64</v>
      </c>
      <c r="F24" s="19" t="s">
        <v>45</v>
      </c>
      <c r="G24" s="8">
        <v>9</v>
      </c>
      <c r="H24" s="8" t="s">
        <v>46</v>
      </c>
      <c r="I24" s="8">
        <v>4</v>
      </c>
      <c r="J24" s="8" t="s">
        <v>43</v>
      </c>
      <c r="K24" s="8" t="s">
        <v>43</v>
      </c>
      <c r="L24" s="8" t="s">
        <v>43</v>
      </c>
      <c r="M24" s="8" t="s">
        <v>56</v>
      </c>
      <c r="N24" s="8">
        <v>13</v>
      </c>
      <c r="O24" s="8" t="s">
        <v>40</v>
      </c>
    </row>
    <row r="25" spans="1:15 16384:16384" s="17" customFormat="1">
      <c r="A25" s="6" t="s">
        <v>33</v>
      </c>
      <c r="B25" s="7">
        <v>223</v>
      </c>
      <c r="C25" s="8">
        <v>180</v>
      </c>
      <c r="D25" s="8">
        <v>9</v>
      </c>
      <c r="E25" s="8">
        <v>43</v>
      </c>
      <c r="F25" s="19" t="s">
        <v>45</v>
      </c>
      <c r="G25" s="8" t="s">
        <v>42</v>
      </c>
      <c r="H25" s="8" t="s">
        <v>45</v>
      </c>
      <c r="I25" s="8" t="s">
        <v>42</v>
      </c>
      <c r="J25" s="8">
        <v>101</v>
      </c>
      <c r="K25" s="8" t="s">
        <v>45</v>
      </c>
      <c r="L25" s="8">
        <v>79</v>
      </c>
      <c r="M25" s="8" t="s">
        <v>56</v>
      </c>
      <c r="N25" s="8">
        <v>180</v>
      </c>
      <c r="O25" s="8">
        <v>180</v>
      </c>
    </row>
    <row r="26" spans="1:15 16384:16384" s="17" customFormat="1">
      <c r="A26" s="6" t="s">
        <v>34</v>
      </c>
      <c r="B26" s="7">
        <v>114</v>
      </c>
      <c r="C26" s="8">
        <v>101</v>
      </c>
      <c r="D26" s="8">
        <v>5</v>
      </c>
      <c r="E26" s="8">
        <v>13</v>
      </c>
      <c r="F26" s="19" t="s">
        <v>43</v>
      </c>
      <c r="G26" s="8">
        <v>15</v>
      </c>
      <c r="H26" s="8" t="s">
        <v>44</v>
      </c>
      <c r="I26" s="8">
        <v>9</v>
      </c>
      <c r="J26" s="8">
        <v>36</v>
      </c>
      <c r="K26" s="8" t="s">
        <v>45</v>
      </c>
      <c r="L26" s="8">
        <v>41</v>
      </c>
      <c r="M26" s="8" t="s">
        <v>56</v>
      </c>
      <c r="N26" s="8">
        <v>101</v>
      </c>
      <c r="O26" s="8">
        <v>77</v>
      </c>
    </row>
    <row r="27" spans="1:15 16384:16384" s="17" customFormat="1">
      <c r="A27" s="6" t="s">
        <v>35</v>
      </c>
      <c r="B27" s="7">
        <v>160</v>
      </c>
      <c r="C27" s="8">
        <v>18</v>
      </c>
      <c r="D27" s="8">
        <v>4</v>
      </c>
      <c r="E27" s="8">
        <v>124</v>
      </c>
      <c r="F27" s="19" t="s">
        <v>43</v>
      </c>
      <c r="G27" s="8">
        <v>9</v>
      </c>
      <c r="H27" s="8" t="s">
        <v>46</v>
      </c>
      <c r="I27" s="8">
        <v>9</v>
      </c>
      <c r="J27" s="8" t="s">
        <v>45</v>
      </c>
      <c r="K27" s="8">
        <v>18</v>
      </c>
      <c r="L27" s="8" t="s">
        <v>43</v>
      </c>
      <c r="M27" s="8" t="s">
        <v>42</v>
      </c>
      <c r="N27" s="8">
        <v>18</v>
      </c>
      <c r="O27" s="8">
        <v>18</v>
      </c>
    </row>
    <row r="28" spans="1:15 16384:16384" s="17" customFormat="1">
      <c r="A28" s="6" t="s">
        <v>36</v>
      </c>
      <c r="B28" s="7">
        <v>144</v>
      </c>
      <c r="C28" s="8">
        <v>74</v>
      </c>
      <c r="D28" s="8">
        <v>12</v>
      </c>
      <c r="E28" s="8">
        <v>36</v>
      </c>
      <c r="F28" s="19" t="s">
        <v>45</v>
      </c>
      <c r="G28" s="8">
        <v>17</v>
      </c>
      <c r="H28" s="8" t="s">
        <v>44</v>
      </c>
      <c r="I28" s="8">
        <v>13</v>
      </c>
      <c r="J28" s="8" t="s">
        <v>43</v>
      </c>
      <c r="K28" s="8">
        <v>34</v>
      </c>
      <c r="L28" s="8">
        <v>44</v>
      </c>
      <c r="M28" s="8" t="s">
        <v>43</v>
      </c>
      <c r="N28" s="8">
        <v>74</v>
      </c>
      <c r="O28" s="8">
        <v>34</v>
      </c>
    </row>
    <row r="29" spans="1:15 16384:16384" s="17" customFormat="1">
      <c r="A29" s="6" t="s">
        <v>37</v>
      </c>
      <c r="B29" s="7">
        <v>151</v>
      </c>
      <c r="C29" s="8">
        <v>136</v>
      </c>
      <c r="D29" s="8">
        <v>15</v>
      </c>
      <c r="E29" s="8">
        <v>15</v>
      </c>
      <c r="F29" s="19" t="s">
        <v>53</v>
      </c>
      <c r="G29" s="8">
        <v>19</v>
      </c>
      <c r="H29" s="8" t="s">
        <v>45</v>
      </c>
      <c r="I29" s="8">
        <v>24</v>
      </c>
      <c r="J29" s="8">
        <v>49</v>
      </c>
      <c r="K29" s="8" t="s">
        <v>45</v>
      </c>
      <c r="L29" s="8">
        <v>44</v>
      </c>
      <c r="M29" s="8" t="s">
        <v>58</v>
      </c>
      <c r="N29" s="8">
        <v>136</v>
      </c>
      <c r="O29" s="8">
        <v>93</v>
      </c>
    </row>
    <row r="30" spans="1:15 16384:16384" s="17" customFormat="1">
      <c r="A30" s="6" t="s">
        <v>38</v>
      </c>
      <c r="B30" s="7">
        <v>79</v>
      </c>
      <c r="C30" s="8">
        <v>79</v>
      </c>
      <c r="D30" s="8">
        <v>2</v>
      </c>
      <c r="E30" s="8" t="s">
        <v>54</v>
      </c>
      <c r="F30" s="19" t="s">
        <v>42</v>
      </c>
      <c r="G30" s="8">
        <v>79</v>
      </c>
      <c r="H30" s="8" t="s">
        <v>45</v>
      </c>
      <c r="I30" s="8" t="s">
        <v>56</v>
      </c>
      <c r="J30" s="8" t="s">
        <v>43</v>
      </c>
      <c r="K30" s="8" t="s">
        <v>46</v>
      </c>
      <c r="L30" s="8" t="s">
        <v>45</v>
      </c>
      <c r="M30" s="8" t="s">
        <v>43</v>
      </c>
      <c r="N30" s="8">
        <v>79</v>
      </c>
      <c r="O30" s="8" t="s">
        <v>40</v>
      </c>
    </row>
    <row r="31" spans="1:15 16384:16384" s="17" customFormat="1">
      <c r="A31" s="6" t="s">
        <v>39</v>
      </c>
      <c r="B31" s="7">
        <v>70</v>
      </c>
      <c r="C31" s="8">
        <v>57</v>
      </c>
      <c r="D31" s="8">
        <v>8</v>
      </c>
      <c r="E31" s="8">
        <v>13</v>
      </c>
      <c r="F31" s="19" t="s">
        <v>41</v>
      </c>
      <c r="G31" s="8" t="s">
        <v>45</v>
      </c>
      <c r="H31" s="8" t="s">
        <v>45</v>
      </c>
      <c r="I31" s="8">
        <v>38</v>
      </c>
      <c r="J31" s="8">
        <v>19</v>
      </c>
      <c r="K31" s="8" t="s">
        <v>57</v>
      </c>
      <c r="L31" s="8" t="s">
        <v>45</v>
      </c>
      <c r="M31" s="8" t="s">
        <v>45</v>
      </c>
      <c r="N31" s="8">
        <v>57</v>
      </c>
      <c r="O31" s="8">
        <v>19</v>
      </c>
    </row>
    <row r="32" spans="1:15 16384:16384" s="18" customFormat="1" ht="15.75">
      <c r="A32" s="10" t="s">
        <v>59</v>
      </c>
      <c r="B32" s="11">
        <f>SUM(B4:B31)</f>
        <v>5399</v>
      </c>
      <c r="C32" s="12">
        <f>SUM(C4:C31)</f>
        <v>3321</v>
      </c>
      <c r="D32" s="12">
        <f>SUM(D4:D31)</f>
        <v>570</v>
      </c>
      <c r="E32" s="13">
        <f>SUM(E4:E31)</f>
        <v>1415</v>
      </c>
      <c r="F32" s="12" t="s">
        <v>40</v>
      </c>
      <c r="G32" s="12">
        <v>738</v>
      </c>
      <c r="H32" s="12" t="s">
        <v>43</v>
      </c>
      <c r="I32" s="12">
        <v>550</v>
      </c>
      <c r="J32" s="12">
        <v>869</v>
      </c>
      <c r="K32" s="12">
        <v>639</v>
      </c>
      <c r="L32" s="12">
        <v>1187</v>
      </c>
      <c r="M32" s="12" t="s">
        <v>40</v>
      </c>
      <c r="N32" s="13">
        <f>SUM(N4:N31)</f>
        <v>3325</v>
      </c>
      <c r="O32" s="12">
        <v>1968</v>
      </c>
      <c r="XFD32" s="18">
        <f>SUM(A32:XFC32)</f>
        <v>19981</v>
      </c>
    </row>
    <row r="33" spans="1:15" s="17" customFormat="1">
      <c r="A33" s="7"/>
      <c r="B33" s="7"/>
      <c r="C33" s="8"/>
      <c r="D33" s="8"/>
      <c r="F33" s="8"/>
      <c r="G33" s="8"/>
      <c r="H33" s="8"/>
      <c r="I33" s="8"/>
      <c r="J33" s="8"/>
      <c r="K33" s="8"/>
      <c r="L33" s="8"/>
      <c r="M33" s="8"/>
      <c r="O33" s="8"/>
    </row>
    <row r="34" spans="1:15" s="17" customFormat="1">
      <c r="A34" s="7"/>
      <c r="B34" s="7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5" s="17" customFormat="1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 s="17" customFormat="1">
      <c r="A36" s="7"/>
      <c r="B36" s="7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  <row r="37" spans="1:15" s="17" customFormat="1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s="17" customFormat="1">
      <c r="A38" s="7"/>
      <c r="B38" s="7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</row>
    <row r="39" spans="1:15" s="17" customFormat="1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s="17" customFormat="1">
      <c r="A40" s="7"/>
      <c r="B40" s="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</row>
    <row r="41" spans="1:15" s="17" customFormat="1">
      <c r="A41" s="7"/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spans="1:15" s="17" customFormat="1">
      <c r="A42" s="7"/>
      <c r="B42" s="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</row>
    <row r="43" spans="1:15" s="17" customFormat="1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 s="17" customFormat="1">
      <c r="A44" s="7"/>
      <c r="B44" s="7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</row>
  </sheetData>
  <autoFilter ref="A1:O32" xr:uid="{07F08C7C-AAB2-4F6C-8B82-84FD31678028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</autoFilter>
  <mergeCells count="12">
    <mergeCell ref="A1:O1"/>
    <mergeCell ref="E2:E3"/>
    <mergeCell ref="F2:G2"/>
    <mergeCell ref="H2:I2"/>
    <mergeCell ref="J2:K2"/>
    <mergeCell ref="L2:M2"/>
    <mergeCell ref="O2:O3"/>
    <mergeCell ref="N2:N3"/>
    <mergeCell ref="B2:B3"/>
    <mergeCell ref="A2:A3"/>
    <mergeCell ref="C2:C3"/>
    <mergeCell ref="D2:D3"/>
  </mergeCells>
  <phoneticPr fontId="1" type="noConversion"/>
  <pageMargins left="0.51181102362204722" right="0.51181102362204722" top="0.78740157480314965" bottom="0.78740157480314965" header="0.31496062992125984" footer="0.31496062992125984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Loiola</dc:creator>
  <cp:lastModifiedBy>Madeline Bastos</cp:lastModifiedBy>
  <cp:lastPrinted>2026-07-31T14:39:50Z</cp:lastPrinted>
  <dcterms:created xsi:type="dcterms:W3CDTF">2025-07-28T14:01:47Z</dcterms:created>
  <dcterms:modified xsi:type="dcterms:W3CDTF">2026-07-31T14:40:10Z</dcterms:modified>
</cp:coreProperties>
</file>